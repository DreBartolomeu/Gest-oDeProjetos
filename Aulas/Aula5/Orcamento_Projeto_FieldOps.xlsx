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çamento FieldOps" sheetId="1" state="visible" r:id="rId3"/>
    <sheet name="Resumo por Categori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<sst xmlns="http://schemas.openxmlformats.org/spreadsheetml/2006/main" count="190" uniqueCount="107">
  <si>
    <t xml:space="preserve">Orçamento do Projeto FieldOps — Plataforma de Inspeção em Campo</t>
  </si>
  <si>
    <t xml:space="preserve">Gestão de Projetos — SENAI | Elaborado com base no Documento de Visão e Objetivos do FieldOps</t>
  </si>
  <si>
    <t xml:space="preserve">Qt</t>
  </si>
  <si>
    <t xml:space="preserve">Unid</t>
  </si>
  <si>
    <t xml:space="preserve">Descrição</t>
  </si>
  <si>
    <t xml:space="preserve">Categoria</t>
  </si>
  <si>
    <t xml:space="preserve">Responsável</t>
  </si>
  <si>
    <t xml:space="preserve">Valor Unitário</t>
  </si>
  <si>
    <t xml:space="preserve">Total</t>
  </si>
  <si>
    <t xml:space="preserve">Origem/Observação</t>
  </si>
  <si>
    <t xml:space="preserve">1. Recursos Humanos — Equipe de Desenvolvimento</t>
  </si>
  <si>
    <t xml:space="preserve">mês</t>
  </si>
  <si>
    <t xml:space="preserve">Desenvolvedor(a) Mobile (Expo/React Native)</t>
  </si>
  <si>
    <t xml:space="preserve">Recursos Humanos</t>
  </si>
  <si>
    <t xml:space="preserve">Estudante — Squad Mobile</t>
  </si>
  <si>
    <t xml:space="preserve">Estimativa de bolsa/hora-aula equivalente</t>
  </si>
  <si>
    <t xml:space="preserve">Desenvolvedor(a) Backend (Java/Spring Boot)</t>
  </si>
  <si>
    <t xml:space="preserve">Estudante — Squad Backend</t>
  </si>
  <si>
    <t xml:space="preserve">Desenvolvedor(a) Web Administrativo (Angular/React)</t>
  </si>
  <si>
    <t xml:space="preserve">Estudante — Squad Web</t>
  </si>
  <si>
    <t xml:space="preserve">Analista de Qualidade / Testes (QA)</t>
  </si>
  <si>
    <t xml:space="preserve">Estudante — Squad QA</t>
  </si>
  <si>
    <t xml:space="preserve">Testes funcionais e de integração</t>
  </si>
  <si>
    <t xml:space="preserve">Gerente de Projeto</t>
  </si>
  <si>
    <t xml:space="preserve">Estudante — Coordenação</t>
  </si>
  <si>
    <t xml:space="preserve">Planejamento, acompanhamento e riscos</t>
  </si>
  <si>
    <t xml:space="preserve">Designer UX/UI</t>
  </si>
  <si>
    <t xml:space="preserve">Estudante — Squad Web/Mobile</t>
  </si>
  <si>
    <t xml:space="preserve">Protótipos e padronização visual</t>
  </si>
  <si>
    <t xml:space="preserve">Professor Orientador (horas de consultoria)</t>
  </si>
  <si>
    <t xml:space="preserve">Prof. Me. Deivison S. Takatu</t>
  </si>
  <si>
    <t xml:space="preserve">20h de orientação no mês</t>
  </si>
  <si>
    <t xml:space="preserve">2. Infraestrutura e Nuvem</t>
  </si>
  <si>
    <t xml:space="preserve">Servidor de aplicação (API REST) em nuvem</t>
  </si>
  <si>
    <t xml:space="preserve">Infraestrutura</t>
  </si>
  <si>
    <t xml:space="preserve">DevOps/Infra</t>
  </si>
  <si>
    <t xml:space="preserve">Ex.: instância cloud básica</t>
  </si>
  <si>
    <t xml:space="preserve">Banco de dados PostgreSQL gerenciado</t>
  </si>
  <si>
    <t xml:space="preserve">Ambiente de produção</t>
  </si>
  <si>
    <t xml:space="preserve">Armazenamento de objetos para evidências (fotos)</t>
  </si>
  <si>
    <t xml:space="preserve">Compatível com S3</t>
  </si>
  <si>
    <t xml:space="preserve">un</t>
  </si>
  <si>
    <t xml:space="preserve">Domínio (.com.br) — 1 ano</t>
  </si>
  <si>
    <t xml:space="preserve">Registro.br</t>
  </si>
  <si>
    <t xml:space="preserve">Certificado SSL</t>
  </si>
  <si>
    <t xml:space="preserve">Let's Encrypt — gratuito</t>
  </si>
  <si>
    <t xml:space="preserve">Ambiente de homologação/testes (dev+staging)</t>
  </si>
  <si>
    <t xml:space="preserve">3 meses de projeto</t>
  </si>
  <si>
    <t xml:space="preserve">Serviço de CI/CD (build e deploy automatizado)</t>
  </si>
  <si>
    <t xml:space="preserve">GitHub Actions — plano gratuito</t>
  </si>
  <si>
    <t xml:space="preserve">3. Software e Licenças</t>
  </si>
  <si>
    <t xml:space="preserve">licença</t>
  </si>
  <si>
    <t xml:space="preserve">IDE / Android Studio</t>
  </si>
  <si>
    <t xml:space="preserve">Software</t>
  </si>
  <si>
    <t xml:space="preserve">Squad Mobile</t>
  </si>
  <si>
    <t xml:space="preserve">Gratuito</t>
  </si>
  <si>
    <t xml:space="preserve">Postman Team (colaboração de API)</t>
  </si>
  <si>
    <t xml:space="preserve">Squad Backend</t>
  </si>
  <si>
    <t xml:space="preserve">Plano gratuito</t>
  </si>
  <si>
    <t xml:space="preserve">Figma (design colaborativo)</t>
  </si>
  <si>
    <t xml:space="preserve">Design UX/UI</t>
  </si>
  <si>
    <t xml:space="preserve">Plano gratuito/educacional</t>
  </si>
  <si>
    <t xml:space="preserve">Conta Google Play Console (publicação Android)</t>
  </si>
  <si>
    <t xml:space="preserve">Taxa única de desenvolvedor</t>
  </si>
  <si>
    <t xml:space="preserve">Repositório privado GitHub (organização)</t>
  </si>
  <si>
    <t xml:space="preserve">Ferramenta de gestão ágil (quadro Kanban)</t>
  </si>
  <si>
    <t xml:space="preserve">Trello/GitHub Projects — gratuito</t>
  </si>
  <si>
    <t xml:space="preserve">4. Equipamentos e Dispositivos</t>
  </si>
  <si>
    <t xml:space="preserve">Smartphone Android para testes de campo</t>
  </si>
  <si>
    <t xml:space="preserve">Equipamento</t>
  </si>
  <si>
    <t xml:space="preserve">Squad QA</t>
  </si>
  <si>
    <t xml:space="preserve">Validação obrigatória em Android</t>
  </si>
  <si>
    <t xml:space="preserve">Leitor/gerador de QR Code para testes de equipamento</t>
  </si>
  <si>
    <t xml:space="preserve">Etiquetas de teste</t>
  </si>
  <si>
    <t xml:space="preserve">Notebook reserva para testes de homologação</t>
  </si>
  <si>
    <t xml:space="preserve">Já disponível — custo de referência</t>
  </si>
  <si>
    <t xml:space="preserve">Roteador móvel (simulação de campo sem internet)</t>
  </si>
  <si>
    <t xml:space="preserve">Testes de modo offline</t>
  </si>
  <si>
    <t xml:space="preserve">5. Documentação e Testes</t>
  </si>
  <si>
    <t xml:space="preserve">Elaboração de documento de requisitos e casos de uso</t>
  </si>
  <si>
    <t xml:space="preserve">Documentação</t>
  </si>
  <si>
    <t xml:space="preserve">Horas já contabilizadas em RH</t>
  </si>
  <si>
    <t xml:space="preserve">Documentação da API (OpenAPI/Swagger)</t>
  </si>
  <si>
    <t xml:space="preserve">Ferramenta gratuita integrada ao Spring Boot</t>
  </si>
  <si>
    <t xml:space="preserve">hora</t>
  </si>
  <si>
    <t xml:space="preserve">Execução de testes funcionais e de regressão</t>
  </si>
  <si>
    <t xml:space="preserve">Ciclo de testes do MVP</t>
  </si>
  <si>
    <t xml:space="preserve">Relatório de auditoria e rastreabilidade (LGPD)</t>
  </si>
  <si>
    <t xml:space="preserve">Consultoria pontual</t>
  </si>
  <si>
    <t xml:space="preserve">6. Comunicação e Deslocamento</t>
  </si>
  <si>
    <t xml:space="preserve">visita</t>
  </si>
  <si>
    <t xml:space="preserve">Visita técnica a cliente piloto para levantamento</t>
  </si>
  <si>
    <t xml:space="preserve">Serviços</t>
  </si>
  <si>
    <t xml:space="preserve">Transporte + alimentação</t>
  </si>
  <si>
    <t xml:space="preserve">Material de divulgação/apresentação do MVP</t>
  </si>
  <si>
    <t xml:space="preserve">Impressão e material gráfico</t>
  </si>
  <si>
    <t xml:space="preserve">Ferramenta de comunicação da equipe (Slack/Teams)</t>
  </si>
  <si>
    <t xml:space="preserve">7. Contingência</t>
  </si>
  <si>
    <t xml:space="preserve">verba</t>
  </si>
  <si>
    <t xml:space="preserve">Reserva de contingência (5% sobre o total direto)</t>
  </si>
  <si>
    <t xml:space="preserve">Contingência</t>
  </si>
  <si>
    <t xml:space="preserve">Calculado automaticamente — ver fórmula</t>
  </si>
  <si>
    <t xml:space="preserve">TOTAL GERAL DO ORÇAMENTO</t>
  </si>
  <si>
    <t xml:space="preserve">Resumo do Orçamento por Categoria — Projeto FieldOps</t>
  </si>
  <si>
    <t xml:space="preserve">Total (R$)</t>
  </si>
  <si>
    <t xml:space="preserve">% do Total</t>
  </si>
  <si>
    <t xml:space="preserve">TOTAL GERAL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</si>
</sst>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44"/>
    <col collapsed="false" customWidth="true" hidden="false" outlineLevel="0" max="4" min="4" style="1" width="22"/>
    <col collapsed="false" customWidth="true" hidden="false" outlineLevel="0" max="5" min="5" style="1" width="24"/>
    <col collapsed="false" customWidth="true" hidden="false" outlineLevel="0" max="7" min="6" style="1" width="15"/>
    <col collapsed="false" customWidth="true" hidden="false" outlineLevel="0" max="8" min="8" style="1" width="3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true" outlineLevel="0" collapsed="false">
      <c r="A5" s="5" t="s">
        <v>10</v>
      </c>
      <c r="B5" s="5"/>
      <c r="C5" s="5"/>
      <c r="D5" s="5"/>
      <c r="E5" s="5"/>
      <c r="F5" s="5"/>
      <c r="G5" s="5"/>
      <c r="H5" s="5"/>
    </row>
    <row r="6" customFormat="false" ht="23.25" hidden="false" customHeight="true" outlineLevel="0" collapsed="false">
      <c r="A6" s="6" t="n">
        <v>1</v>
      </c>
      <c r="B6" s="6" t="s">
        <v>11</v>
      </c>
      <c r="C6" s="7" t="s">
        <v>12</v>
      </c>
      <c r="D6" s="6" t="s">
        <v>13</v>
      </c>
      <c r="E6" s="6" t="s">
        <v>14</v>
      </c>
      <c r="F6" s="8" t="n">
        <v>2200</v>
      </c>
      <c r="G6" s="8" t="n">
        <f aca="false">A6*F6</f>
        <v>2200</v>
      </c>
      <c r="H6" s="7" t="s">
        <v>15</v>
      </c>
    </row>
    <row r="7" customFormat="false" ht="23.25" hidden="false" customHeight="true" outlineLevel="0" collapsed="false">
      <c r="A7" s="6" t="n">
        <v>1</v>
      </c>
      <c r="B7" s="6" t="s">
        <v>11</v>
      </c>
      <c r="C7" s="7" t="s">
        <v>16</v>
      </c>
      <c r="D7" s="6" t="s">
        <v>13</v>
      </c>
      <c r="E7" s="6" t="s">
        <v>17</v>
      </c>
      <c r="F7" s="8" t="n">
        <v>2200</v>
      </c>
      <c r="G7" s="8" t="n">
        <f aca="false">A7*F7</f>
        <v>2200</v>
      </c>
      <c r="H7" s="7" t="s">
        <v>15</v>
      </c>
    </row>
    <row r="8" customFormat="false" ht="23.25" hidden="false" customHeight="true" outlineLevel="0" collapsed="false">
      <c r="A8" s="6" t="n">
        <v>1</v>
      </c>
      <c r="B8" s="6" t="s">
        <v>11</v>
      </c>
      <c r="C8" s="7" t="s">
        <v>18</v>
      </c>
      <c r="D8" s="6" t="s">
        <v>13</v>
      </c>
      <c r="E8" s="6" t="s">
        <v>19</v>
      </c>
      <c r="F8" s="8" t="n">
        <v>2200</v>
      </c>
      <c r="G8" s="8" t="n">
        <f aca="false">A8*F8</f>
        <v>2200</v>
      </c>
      <c r="H8" s="7" t="s">
        <v>15</v>
      </c>
    </row>
    <row r="9" customFormat="false" ht="15" hidden="false" customHeight="true" outlineLevel="0" collapsed="false">
      <c r="A9" s="6" t="n">
        <v>1</v>
      </c>
      <c r="B9" s="6" t="s">
        <v>11</v>
      </c>
      <c r="C9" s="7" t="s">
        <v>20</v>
      </c>
      <c r="D9" s="6" t="s">
        <v>13</v>
      </c>
      <c r="E9" s="6" t="s">
        <v>21</v>
      </c>
      <c r="F9" s="8" t="n">
        <v>1800</v>
      </c>
      <c r="G9" s="8" t="n">
        <f aca="false">A9*F9</f>
        <v>1800</v>
      </c>
      <c r="H9" s="7" t="s">
        <v>22</v>
      </c>
    </row>
    <row r="10" customFormat="false" ht="23.25" hidden="false" customHeight="true" outlineLevel="0" collapsed="false">
      <c r="A10" s="6" t="n">
        <v>1</v>
      </c>
      <c r="B10" s="6" t="s">
        <v>11</v>
      </c>
      <c r="C10" s="7" t="s">
        <v>23</v>
      </c>
      <c r="D10" s="6" t="s">
        <v>13</v>
      </c>
      <c r="E10" s="6" t="s">
        <v>24</v>
      </c>
      <c r="F10" s="8" t="n">
        <v>2000</v>
      </c>
      <c r="G10" s="8" t="n">
        <f aca="false">A10*F10</f>
        <v>2000</v>
      </c>
      <c r="H10" s="7" t="s">
        <v>25</v>
      </c>
    </row>
    <row r="11" customFormat="false" ht="15" hidden="false" customHeight="true" outlineLevel="0" collapsed="false">
      <c r="A11" s="6" t="n">
        <v>1</v>
      </c>
      <c r="B11" s="6" t="s">
        <v>11</v>
      </c>
      <c r="C11" s="7" t="s">
        <v>26</v>
      </c>
      <c r="D11" s="6" t="s">
        <v>13</v>
      </c>
      <c r="E11" s="6" t="s">
        <v>27</v>
      </c>
      <c r="F11" s="8" t="n">
        <v>1600</v>
      </c>
      <c r="G11" s="8" t="n">
        <f aca="false">A11*F11</f>
        <v>1600</v>
      </c>
      <c r="H11" s="7" t="s">
        <v>28</v>
      </c>
    </row>
    <row r="12" customFormat="false" ht="15" hidden="false" customHeight="true" outlineLevel="0" collapsed="false">
      <c r="A12" s="6" t="n">
        <v>1</v>
      </c>
      <c r="B12" s="6" t="s">
        <v>11</v>
      </c>
      <c r="C12" s="7" t="s">
        <v>29</v>
      </c>
      <c r="D12" s="6" t="s">
        <v>13</v>
      </c>
      <c r="E12" s="6" t="s">
        <v>30</v>
      </c>
      <c r="F12" s="8" t="n">
        <v>900</v>
      </c>
      <c r="G12" s="8" t="n">
        <f aca="false">A12*F12</f>
        <v>900</v>
      </c>
      <c r="H12" s="7" t="s">
        <v>31</v>
      </c>
    </row>
    <row r="13" customFormat="false" ht="15" hidden="false" customHeight="true" outlineLevel="0" collapsed="false">
      <c r="A13" s="5" t="s">
        <v>32</v>
      </c>
      <c r="B13" s="5"/>
      <c r="C13" s="5"/>
      <c r="D13" s="5"/>
      <c r="E13" s="5"/>
      <c r="F13" s="5"/>
      <c r="G13" s="5"/>
      <c r="H13" s="5"/>
    </row>
    <row r="14" customFormat="false" ht="15" hidden="false" customHeight="true" outlineLevel="0" collapsed="false">
      <c r="A14" s="6" t="n">
        <v>1</v>
      </c>
      <c r="B14" s="6" t="s">
        <v>11</v>
      </c>
      <c r="C14" s="7" t="s">
        <v>33</v>
      </c>
      <c r="D14" s="6" t="s">
        <v>34</v>
      </c>
      <c r="E14" s="6" t="s">
        <v>35</v>
      </c>
      <c r="F14" s="8" t="n">
        <v>120</v>
      </c>
      <c r="G14" s="8" t="n">
        <f aca="false">A14*F14</f>
        <v>120</v>
      </c>
      <c r="H14" s="7" t="s">
        <v>36</v>
      </c>
    </row>
    <row r="15" customFormat="false" ht="15" hidden="false" customHeight="true" outlineLevel="0" collapsed="false">
      <c r="A15" s="6" t="n">
        <v>1</v>
      </c>
      <c r="B15" s="6" t="s">
        <v>11</v>
      </c>
      <c r="C15" s="7" t="s">
        <v>37</v>
      </c>
      <c r="D15" s="6" t="s">
        <v>34</v>
      </c>
      <c r="E15" s="6" t="s">
        <v>35</v>
      </c>
      <c r="F15" s="8" t="n">
        <v>90</v>
      </c>
      <c r="G15" s="8" t="n">
        <f aca="false">A15*F15</f>
        <v>90</v>
      </c>
      <c r="H15" s="7" t="s">
        <v>38</v>
      </c>
    </row>
    <row r="16" customFormat="false" ht="15" hidden="false" customHeight="true" outlineLevel="0" collapsed="false">
      <c r="A16" s="6" t="n">
        <v>1</v>
      </c>
      <c r="B16" s="6" t="s">
        <v>11</v>
      </c>
      <c r="C16" s="7" t="s">
        <v>39</v>
      </c>
      <c r="D16" s="6" t="s">
        <v>34</v>
      </c>
      <c r="E16" s="6" t="s">
        <v>35</v>
      </c>
      <c r="F16" s="8" t="n">
        <v>60</v>
      </c>
      <c r="G16" s="8" t="n">
        <f aca="false">A16*F16</f>
        <v>60</v>
      </c>
      <c r="H16" s="7" t="s">
        <v>40</v>
      </c>
    </row>
    <row r="17" customFormat="false" ht="15" hidden="false" customHeight="true" outlineLevel="0" collapsed="false">
      <c r="A17" s="6" t="n">
        <v>1</v>
      </c>
      <c r="B17" s="6" t="s">
        <v>41</v>
      </c>
      <c r="C17" s="7" t="s">
        <v>42</v>
      </c>
      <c r="D17" s="6" t="s">
        <v>34</v>
      </c>
      <c r="E17" s="6" t="s">
        <v>35</v>
      </c>
      <c r="F17" s="8" t="n">
        <v>45</v>
      </c>
      <c r="G17" s="8" t="n">
        <f aca="false">A17*F17</f>
        <v>45</v>
      </c>
      <c r="H17" s="7" t="s">
        <v>43</v>
      </c>
    </row>
    <row r="18" customFormat="false" ht="15" hidden="false" customHeight="true" outlineLevel="0" collapsed="false">
      <c r="A18" s="6" t="n">
        <v>1</v>
      </c>
      <c r="B18" s="6" t="s">
        <v>41</v>
      </c>
      <c r="C18" s="7" t="s">
        <v>44</v>
      </c>
      <c r="D18" s="6" t="s">
        <v>34</v>
      </c>
      <c r="E18" s="6" t="s">
        <v>35</v>
      </c>
      <c r="F18" s="8" t="n">
        <v>0</v>
      </c>
      <c r="G18" s="8" t="n">
        <f aca="false">A18*F18</f>
        <v>0</v>
      </c>
      <c r="H18" s="7" t="s">
        <v>45</v>
      </c>
    </row>
    <row r="19" customFormat="false" ht="15" hidden="false" customHeight="true" outlineLevel="0" collapsed="false">
      <c r="A19" s="6" t="n">
        <v>3</v>
      </c>
      <c r="B19" s="6" t="s">
        <v>11</v>
      </c>
      <c r="C19" s="7" t="s">
        <v>46</v>
      </c>
      <c r="D19" s="6" t="s">
        <v>34</v>
      </c>
      <c r="E19" s="6" t="s">
        <v>35</v>
      </c>
      <c r="F19" s="8" t="n">
        <v>70</v>
      </c>
      <c r="G19" s="8" t="n">
        <f aca="false">A19*F19</f>
        <v>210</v>
      </c>
      <c r="H19" s="7" t="s">
        <v>47</v>
      </c>
    </row>
    <row r="20" customFormat="false" ht="15" hidden="false" customHeight="true" outlineLevel="0" collapsed="false">
      <c r="A20" s="6" t="n">
        <v>1</v>
      </c>
      <c r="B20" s="6" t="s">
        <v>11</v>
      </c>
      <c r="C20" s="7" t="s">
        <v>48</v>
      </c>
      <c r="D20" s="6" t="s">
        <v>34</v>
      </c>
      <c r="E20" s="6" t="s">
        <v>35</v>
      </c>
      <c r="F20" s="8" t="n">
        <v>0</v>
      </c>
      <c r="G20" s="8" t="n">
        <f aca="false">A20*F20</f>
        <v>0</v>
      </c>
      <c r="H20" s="7" t="s">
        <v>49</v>
      </c>
    </row>
    <row r="21" customFormat="false" ht="15" hidden="false" customHeight="true" outlineLevel="0" collapsed="false">
      <c r="A21" s="5" t="s">
        <v>50</v>
      </c>
      <c r="B21" s="5"/>
      <c r="C21" s="5"/>
      <c r="D21" s="5"/>
      <c r="E21" s="5"/>
      <c r="F21" s="5"/>
      <c r="G21" s="5"/>
      <c r="H21" s="5"/>
    </row>
    <row r="22" customFormat="false" ht="15" hidden="false" customHeight="true" outlineLevel="0" collapsed="false">
      <c r="A22" s="6" t="n">
        <v>3</v>
      </c>
      <c r="B22" s="6" t="s">
        <v>51</v>
      </c>
      <c r="C22" s="7" t="s">
        <v>52</v>
      </c>
      <c r="D22" s="6" t="s">
        <v>53</v>
      </c>
      <c r="E22" s="6" t="s">
        <v>54</v>
      </c>
      <c r="F22" s="8" t="n">
        <v>0</v>
      </c>
      <c r="G22" s="8" t="n">
        <f aca="false">A22*F22</f>
        <v>0</v>
      </c>
      <c r="H22" s="7" t="s">
        <v>55</v>
      </c>
    </row>
    <row r="23" customFormat="false" ht="15" hidden="false" customHeight="true" outlineLevel="0" collapsed="false">
      <c r="A23" s="6" t="n">
        <v>1</v>
      </c>
      <c r="B23" s="6" t="s">
        <v>51</v>
      </c>
      <c r="C23" s="7" t="s">
        <v>56</v>
      </c>
      <c r="D23" s="6" t="s">
        <v>53</v>
      </c>
      <c r="E23" s="6" t="s">
        <v>57</v>
      </c>
      <c r="F23" s="8" t="n">
        <v>0</v>
      </c>
      <c r="G23" s="8" t="n">
        <f aca="false">A23*F23</f>
        <v>0</v>
      </c>
      <c r="H23" s="7" t="s">
        <v>58</v>
      </c>
    </row>
    <row r="24" customFormat="false" ht="15" hidden="false" customHeight="true" outlineLevel="0" collapsed="false">
      <c r="A24" s="6" t="n">
        <v>1</v>
      </c>
      <c r="B24" s="6" t="s">
        <v>51</v>
      </c>
      <c r="C24" s="7" t="s">
        <v>59</v>
      </c>
      <c r="D24" s="6" t="s">
        <v>53</v>
      </c>
      <c r="E24" s="6" t="s">
        <v>60</v>
      </c>
      <c r="F24" s="8" t="n">
        <v>0</v>
      </c>
      <c r="G24" s="8" t="n">
        <f aca="false">A24*F24</f>
        <v>0</v>
      </c>
      <c r="H24" s="7" t="s">
        <v>61</v>
      </c>
    </row>
    <row r="25" customFormat="false" ht="15" hidden="false" customHeight="true" outlineLevel="0" collapsed="false">
      <c r="A25" s="6" t="n">
        <v>1</v>
      </c>
      <c r="B25" s="6" t="s">
        <v>51</v>
      </c>
      <c r="C25" s="7" t="s">
        <v>62</v>
      </c>
      <c r="D25" s="6" t="s">
        <v>53</v>
      </c>
      <c r="E25" s="6" t="s">
        <v>23</v>
      </c>
      <c r="F25" s="8" t="n">
        <v>125</v>
      </c>
      <c r="G25" s="8" t="n">
        <f aca="false">A25*F25</f>
        <v>125</v>
      </c>
      <c r="H25" s="7" t="s">
        <v>63</v>
      </c>
    </row>
    <row r="26" customFormat="false" ht="15" hidden="false" customHeight="true" outlineLevel="0" collapsed="false">
      <c r="A26" s="6" t="n">
        <v>1</v>
      </c>
      <c r="B26" s="6" t="s">
        <v>51</v>
      </c>
      <c r="C26" s="7" t="s">
        <v>64</v>
      </c>
      <c r="D26" s="6" t="s">
        <v>53</v>
      </c>
      <c r="E26" s="6" t="s">
        <v>23</v>
      </c>
      <c r="F26" s="8" t="n">
        <v>0</v>
      </c>
      <c r="G26" s="8" t="n">
        <f aca="false">A26*F26</f>
        <v>0</v>
      </c>
      <c r="H26" s="7" t="s">
        <v>61</v>
      </c>
    </row>
    <row r="27" customFormat="false" ht="15" hidden="false" customHeight="true" outlineLevel="0" collapsed="false">
      <c r="A27" s="6" t="n">
        <v>1</v>
      </c>
      <c r="B27" s="6" t="s">
        <v>51</v>
      </c>
      <c r="C27" s="7" t="s">
        <v>65</v>
      </c>
      <c r="D27" s="6" t="s">
        <v>53</v>
      </c>
      <c r="E27" s="6" t="s">
        <v>23</v>
      </c>
      <c r="F27" s="8" t="n">
        <v>0</v>
      </c>
      <c r="G27" s="8" t="n">
        <f aca="false">A27*F27</f>
        <v>0</v>
      </c>
      <c r="H27" s="7" t="s">
        <v>66</v>
      </c>
    </row>
    <row r="28" customFormat="false" ht="15" hidden="false" customHeight="true" outlineLevel="0" collapsed="false">
      <c r="A28" s="5" t="s">
        <v>67</v>
      </c>
      <c r="B28" s="5"/>
      <c r="C28" s="5"/>
      <c r="D28" s="5"/>
      <c r="E28" s="5"/>
      <c r="F28" s="5"/>
      <c r="G28" s="5"/>
      <c r="H28" s="5"/>
    </row>
    <row r="29" customFormat="false" ht="15" hidden="false" customHeight="true" outlineLevel="0" collapsed="false">
      <c r="A29" s="6" t="n">
        <v>2</v>
      </c>
      <c r="B29" s="6" t="s">
        <v>41</v>
      </c>
      <c r="C29" s="7" t="s">
        <v>68</v>
      </c>
      <c r="D29" s="6" t="s">
        <v>69</v>
      </c>
      <c r="E29" s="6" t="s">
        <v>70</v>
      </c>
      <c r="F29" s="8" t="n">
        <v>900</v>
      </c>
      <c r="G29" s="8" t="n">
        <f aca="false">A29*F29</f>
        <v>1800</v>
      </c>
      <c r="H29" s="7" t="s">
        <v>71</v>
      </c>
    </row>
    <row r="30" customFormat="false" ht="23.25" hidden="false" customHeight="true" outlineLevel="0" collapsed="false">
      <c r="A30" s="6" t="n">
        <v>1</v>
      </c>
      <c r="B30" s="6" t="s">
        <v>41</v>
      </c>
      <c r="C30" s="7" t="s">
        <v>72</v>
      </c>
      <c r="D30" s="6" t="s">
        <v>69</v>
      </c>
      <c r="E30" s="6" t="s">
        <v>54</v>
      </c>
      <c r="F30" s="8" t="n">
        <v>35</v>
      </c>
      <c r="G30" s="8" t="n">
        <f aca="false">A30*F30</f>
        <v>35</v>
      </c>
      <c r="H30" s="7" t="s">
        <v>73</v>
      </c>
    </row>
    <row r="31" customFormat="false" ht="15" hidden="false" customHeight="true" outlineLevel="0" collapsed="false">
      <c r="A31" s="6" t="n">
        <v>1</v>
      </c>
      <c r="B31" s="6" t="s">
        <v>41</v>
      </c>
      <c r="C31" s="7" t="s">
        <v>74</v>
      </c>
      <c r="D31" s="6" t="s">
        <v>69</v>
      </c>
      <c r="E31" s="6" t="s">
        <v>70</v>
      </c>
      <c r="F31" s="8" t="n">
        <v>2500</v>
      </c>
      <c r="G31" s="8" t="n">
        <f aca="false">A31*F31</f>
        <v>2500</v>
      </c>
      <c r="H31" s="7" t="s">
        <v>75</v>
      </c>
    </row>
    <row r="32" customFormat="false" ht="15" hidden="false" customHeight="true" outlineLevel="0" collapsed="false">
      <c r="A32" s="6" t="n">
        <v>1</v>
      </c>
      <c r="B32" s="6" t="s">
        <v>41</v>
      </c>
      <c r="C32" s="7" t="s">
        <v>76</v>
      </c>
      <c r="D32" s="6" t="s">
        <v>69</v>
      </c>
      <c r="E32" s="6" t="s">
        <v>54</v>
      </c>
      <c r="F32" s="8" t="n">
        <v>180</v>
      </c>
      <c r="G32" s="8" t="n">
        <f aca="false">A32*F32</f>
        <v>180</v>
      </c>
      <c r="H32" s="7" t="s">
        <v>77</v>
      </c>
    </row>
    <row r="33" customFormat="false" ht="15" hidden="false" customHeight="true" outlineLevel="0" collapsed="false">
      <c r="A33" s="5" t="s">
        <v>78</v>
      </c>
      <c r="B33" s="5"/>
      <c r="C33" s="5"/>
      <c r="D33" s="5"/>
      <c r="E33" s="5"/>
      <c r="F33" s="5"/>
      <c r="G33" s="5"/>
      <c r="H33" s="5"/>
    </row>
    <row r="34" customFormat="false" ht="23.25" hidden="false" customHeight="true" outlineLevel="0" collapsed="false">
      <c r="A34" s="6" t="n">
        <v>1</v>
      </c>
      <c r="B34" s="6" t="s">
        <v>41</v>
      </c>
      <c r="C34" s="7" t="s">
        <v>79</v>
      </c>
      <c r="D34" s="6" t="s">
        <v>80</v>
      </c>
      <c r="E34" s="6" t="s">
        <v>23</v>
      </c>
      <c r="F34" s="8" t="n">
        <v>0</v>
      </c>
      <c r="G34" s="8" t="n">
        <f aca="false">A34*F34</f>
        <v>0</v>
      </c>
      <c r="H34" s="7" t="s">
        <v>81</v>
      </c>
    </row>
    <row r="35" customFormat="false" ht="23.25" hidden="false" customHeight="true" outlineLevel="0" collapsed="false">
      <c r="A35" s="6" t="n">
        <v>1</v>
      </c>
      <c r="B35" s="6" t="s">
        <v>41</v>
      </c>
      <c r="C35" s="7" t="s">
        <v>82</v>
      </c>
      <c r="D35" s="6" t="s">
        <v>80</v>
      </c>
      <c r="E35" s="6" t="s">
        <v>57</v>
      </c>
      <c r="F35" s="8" t="n">
        <v>0</v>
      </c>
      <c r="G35" s="8" t="n">
        <f aca="false">A35*F35</f>
        <v>0</v>
      </c>
      <c r="H35" s="7" t="s">
        <v>83</v>
      </c>
    </row>
    <row r="36" customFormat="false" ht="15" hidden="false" customHeight="true" outlineLevel="0" collapsed="false">
      <c r="A36" s="6" t="n">
        <v>40</v>
      </c>
      <c r="B36" s="6" t="s">
        <v>84</v>
      </c>
      <c r="C36" s="7" t="s">
        <v>85</v>
      </c>
      <c r="D36" s="6" t="s">
        <v>80</v>
      </c>
      <c r="E36" s="6" t="s">
        <v>70</v>
      </c>
      <c r="F36" s="8" t="n">
        <v>25</v>
      </c>
      <c r="G36" s="8" t="n">
        <f aca="false">A36*F36</f>
        <v>1000</v>
      </c>
      <c r="H36" s="7" t="s">
        <v>86</v>
      </c>
    </row>
    <row r="37" customFormat="false" ht="15" hidden="false" customHeight="true" outlineLevel="0" collapsed="false">
      <c r="A37" s="6" t="n">
        <v>1</v>
      </c>
      <c r="B37" s="6" t="s">
        <v>41</v>
      </c>
      <c r="C37" s="7" t="s">
        <v>87</v>
      </c>
      <c r="D37" s="6" t="s">
        <v>80</v>
      </c>
      <c r="E37" s="6" t="s">
        <v>23</v>
      </c>
      <c r="F37" s="8" t="n">
        <v>150</v>
      </c>
      <c r="G37" s="8" t="n">
        <f aca="false">A37*F37</f>
        <v>150</v>
      </c>
      <c r="H37" s="7" t="s">
        <v>88</v>
      </c>
    </row>
    <row r="38" customFormat="false" ht="15" hidden="false" customHeight="true" outlineLevel="0" collapsed="false">
      <c r="A38" s="5" t="s">
        <v>89</v>
      </c>
      <c r="B38" s="5"/>
      <c r="C38" s="5"/>
      <c r="D38" s="5"/>
      <c r="E38" s="5"/>
      <c r="F38" s="5"/>
      <c r="G38" s="5"/>
      <c r="H38" s="5"/>
    </row>
    <row r="39" customFormat="false" ht="15" hidden="false" customHeight="true" outlineLevel="0" collapsed="false">
      <c r="A39" s="6" t="n">
        <v>3</v>
      </c>
      <c r="B39" s="6" t="s">
        <v>90</v>
      </c>
      <c r="C39" s="7" t="s">
        <v>91</v>
      </c>
      <c r="D39" s="6" t="s">
        <v>92</v>
      </c>
      <c r="E39" s="6" t="s">
        <v>23</v>
      </c>
      <c r="F39" s="8" t="n">
        <v>60</v>
      </c>
      <c r="G39" s="8" t="n">
        <f aca="false">A39*F39</f>
        <v>180</v>
      </c>
      <c r="H39" s="7" t="s">
        <v>93</v>
      </c>
    </row>
    <row r="40" customFormat="false" ht="15" hidden="false" customHeight="true" outlineLevel="0" collapsed="false">
      <c r="A40" s="6" t="n">
        <v>1</v>
      </c>
      <c r="B40" s="6" t="s">
        <v>41</v>
      </c>
      <c r="C40" s="7" t="s">
        <v>94</v>
      </c>
      <c r="D40" s="6" t="s">
        <v>92</v>
      </c>
      <c r="E40" s="6" t="s">
        <v>60</v>
      </c>
      <c r="F40" s="8" t="n">
        <v>80</v>
      </c>
      <c r="G40" s="8" t="n">
        <f aca="false">A40*F40</f>
        <v>80</v>
      </c>
      <c r="H40" s="7" t="s">
        <v>95</v>
      </c>
    </row>
    <row r="41" customFormat="false" ht="23.25" hidden="false" customHeight="true" outlineLevel="0" collapsed="false">
      <c r="A41" s="6" t="n">
        <v>1</v>
      </c>
      <c r="B41" s="6" t="s">
        <v>11</v>
      </c>
      <c r="C41" s="7" t="s">
        <v>96</v>
      </c>
      <c r="D41" s="6" t="s">
        <v>92</v>
      </c>
      <c r="E41" s="6" t="s">
        <v>23</v>
      </c>
      <c r="F41" s="8" t="n">
        <v>0</v>
      </c>
      <c r="G41" s="8" t="n">
        <f aca="false">A41*F41</f>
        <v>0</v>
      </c>
      <c r="H41" s="7" t="s">
        <v>58</v>
      </c>
    </row>
    <row r="42" customFormat="false" ht="15" hidden="false" customHeight="true" outlineLevel="0" collapsed="false">
      <c r="A42" s="5" t="s">
        <v>97</v>
      </c>
      <c r="B42" s="5"/>
      <c r="C42" s="5"/>
      <c r="D42" s="5"/>
      <c r="E42" s="5"/>
      <c r="F42" s="5"/>
      <c r="G42" s="5"/>
      <c r="H42" s="5"/>
    </row>
    <row r="43" customFormat="false" ht="23.25" hidden="false" customHeight="true" outlineLevel="0" collapsed="false">
      <c r="A43" s="6" t="n">
        <v>1</v>
      </c>
      <c r="B43" s="6" t="s">
        <v>98</v>
      </c>
      <c r="C43" s="7" t="s">
        <v>99</v>
      </c>
      <c r="D43" s="6" t="s">
        <v>100</v>
      </c>
      <c r="E43" s="6" t="s">
        <v>23</v>
      </c>
      <c r="F43" s="8" t="n">
        <f aca="false">0.05*SUM(G5:G42)</f>
        <v>973.75</v>
      </c>
      <c r="G43" s="8" t="n">
        <f aca="false">A43*F43</f>
        <v>973.75</v>
      </c>
      <c r="H43" s="7" t="s">
        <v>101</v>
      </c>
    </row>
    <row r="45" customFormat="false" ht="15" hidden="false" customHeight="true" outlineLevel="0" collapsed="false">
      <c r="A45" s="9" t="s">
        <v>102</v>
      </c>
      <c r="B45" s="9"/>
      <c r="C45" s="9"/>
      <c r="D45" s="9"/>
      <c r="E45" s="9"/>
      <c r="F45" s="9"/>
      <c r="G45" s="10" t="n">
        <f aca="false">SUM(G5:G43)</f>
        <v>20448.75</v>
      </c>
    </row>
  </sheetData>
  <mergeCells count="10">
    <mergeCell ref="A1:H1"/>
    <mergeCell ref="A2:H2"/>
    <mergeCell ref="A5:H5"/>
    <mergeCell ref="A13:H13"/>
    <mergeCell ref="A21:H21"/>
    <mergeCell ref="A28:H28"/>
    <mergeCell ref="A33:H33"/>
    <mergeCell ref="A38:H38"/>
    <mergeCell ref="A42:H42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12"/>
  </cols>
  <sheetData>
    <row r="1" customFormat="false" ht="19.5" hidden="false" customHeight="true" outlineLevel="0" collapsed="false">
      <c r="A1" s="2" t="s">
        <v>103</v>
      </c>
      <c r="B1" s="2"/>
      <c r="C1" s="2"/>
    </row>
    <row r="3" customFormat="false" ht="15" hidden="false" customHeight="true" outlineLevel="0" collapsed="false">
      <c r="A3" s="11" t="s">
        <v>5</v>
      </c>
      <c r="B3" s="11" t="s">
        <v>104</v>
      </c>
      <c r="C3" s="11" t="s">
        <v>105</v>
      </c>
    </row>
    <row r="4" customFormat="false" ht="15" hidden="false" customHeight="true" outlineLevel="0" collapsed="false">
      <c r="A4" s="12" t="s">
        <v>100</v>
      </c>
      <c r="B4" s="13" t="n">
        <f aca="false">SUMIF('Orçamento FieldOps'!D5:D43,A4,'Orçamento FieldOps'!G5:G43)</f>
        <v>973.75</v>
      </c>
      <c r="C4" s="14" t="n">
        <f aca="false">B4/$B$11</f>
        <v>0.0476190476190476</v>
      </c>
    </row>
    <row r="5" customFormat="false" ht="15" hidden="false" customHeight="true" outlineLevel="0" collapsed="false">
      <c r="A5" s="12" t="s">
        <v>80</v>
      </c>
      <c r="B5" s="13" t="n">
        <f aca="false">SUMIF('Orçamento FieldOps'!D5:D43,A5,'Orçamento FieldOps'!G5:G43)</f>
        <v>1150</v>
      </c>
      <c r="C5" s="14" t="n">
        <f aca="false">B5/$B$11</f>
        <v>0.0562381563665261</v>
      </c>
    </row>
    <row r="6" customFormat="false" ht="15" hidden="false" customHeight="true" outlineLevel="0" collapsed="false">
      <c r="A6" s="12" t="s">
        <v>69</v>
      </c>
      <c r="B6" s="13" t="n">
        <f aca="false">SUMIF('Orçamento FieldOps'!D5:D43,A6,'Orçamento FieldOps'!G5:G43)</f>
        <v>4515</v>
      </c>
      <c r="C6" s="14" t="n">
        <f aca="false">B6/$B$11</f>
        <v>0.220795892169448</v>
      </c>
    </row>
    <row r="7" customFormat="false" ht="15" hidden="false" customHeight="true" outlineLevel="0" collapsed="false">
      <c r="A7" s="12" t="s">
        <v>34</v>
      </c>
      <c r="B7" s="13" t="n">
        <f aca="false">SUMIF('Orçamento FieldOps'!D5:D43,A7,'Orçamento FieldOps'!G5:G43)</f>
        <v>525</v>
      </c>
      <c r="C7" s="14" t="n">
        <f aca="false">B7/$B$11</f>
        <v>0.0256739409499358</v>
      </c>
    </row>
    <row r="8" customFormat="false" ht="15" hidden="false" customHeight="true" outlineLevel="0" collapsed="false">
      <c r="A8" s="12" t="s">
        <v>13</v>
      </c>
      <c r="B8" s="13" t="n">
        <f aca="false">SUMIF('Orçamento FieldOps'!D5:D43,A8,'Orçamento FieldOps'!G5:G43)</f>
        <v>12900</v>
      </c>
      <c r="C8" s="14" t="n">
        <f aca="false">B8/$B$11</f>
        <v>0.630845406198423</v>
      </c>
    </row>
    <row r="9" customFormat="false" ht="15" hidden="false" customHeight="true" outlineLevel="0" collapsed="false">
      <c r="A9" s="12" t="s">
        <v>92</v>
      </c>
      <c r="B9" s="13" t="n">
        <f aca="false">SUMIF('Orçamento FieldOps'!D5:D43,A9,'Orçamento FieldOps'!G5:G43)</f>
        <v>260</v>
      </c>
      <c r="C9" s="14" t="n">
        <f aca="false">B9/$B$11</f>
        <v>0.0127147136133015</v>
      </c>
    </row>
    <row r="10" customFormat="false" ht="15" hidden="false" customHeight="true" outlineLevel="0" collapsed="false">
      <c r="A10" s="12" t="s">
        <v>53</v>
      </c>
      <c r="B10" s="13" t="n">
        <f aca="false">SUMIF('Orçamento FieldOps'!D5:D43,A10,'Orçamento FieldOps'!G5:G43)</f>
        <v>125</v>
      </c>
      <c r="C10" s="14" t="n">
        <f aca="false">B10/$B$11</f>
        <v>0.00611284308331805</v>
      </c>
    </row>
    <row r="11" customFormat="false" ht="15" hidden="false" customHeight="true" outlineLevel="0" collapsed="false">
      <c r="A11" s="15" t="s">
        <v>106</v>
      </c>
      <c r="B11" s="16" t="n">
        <f aca="false">SUM(B4:B10)</f>
        <v>20448.75</v>
      </c>
      <c r="C11" s="12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2026-09-04T23:22:21Z</dcterms:created>
  <dc:creator>openpyxl</dc:creator>
  <dc:description/>
  <dc:language>en-US</dc:language>
  <cp:lastModifiedBy/>
  <dcterms:modified xsi:type="dcterms:W3CDTF">2026-09-04T23:23:16Z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